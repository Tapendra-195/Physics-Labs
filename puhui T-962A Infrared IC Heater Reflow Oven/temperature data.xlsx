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445" windowHeight="97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<sst xmlns="http://schemas.openxmlformats.org/spreadsheetml/2006/main" count="17" uniqueCount="9">
  <si>
    <t>T</t>
  </si>
  <si>
    <t>temp</t>
  </si>
  <si>
    <t>the maximue temperature does not exceed 280,no more than 3 degrees per second</t>
  </si>
  <si>
    <t>wave8</t>
  </si>
  <si>
    <t>01</t>
  </si>
  <si>
    <t>10</t>
  </si>
  <si>
    <t>00</t>
  </si>
  <si>
    <t>03</t>
  </si>
  <si>
    <t>wave7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</si>
</sst>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8" fillId="1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8" fillId="27" borderId="7" applyNumberFormat="0" applyAlignment="0" applyProtection="0">
      <alignment vertical="center"/>
    </xf>
    <xf numFmtId="0" fontId="19" fillId="27" borderId="3" applyNumberFormat="0" applyAlignment="0" applyProtection="0">
      <alignment vertical="center"/>
    </xf>
    <xf numFmtId="0" fontId="20" fillId="34" borderId="8" applyNumberFormat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2" fillId="0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176" fontId="0" fillId="0" borderId="0" xfId="0" applyNumberFormat="1" applyFill="1">
      <alignment vertical="center"/>
    </xf>
    <xf numFmtId="176" fontId="0" fillId="4" borderId="0" xfId="0" applyNumberFormat="1" applyFill="1">
      <alignment vertical="center"/>
    </xf>
    <xf numFmtId="176" fontId="0" fillId="5" borderId="0" xfId="0" applyNumberFormat="1" applyFill="1">
      <alignment vertical="center"/>
    </xf>
    <xf numFmtId="1" fontId="0" fillId="0" borderId="0" xfId="0" applyNumberFormat="1">
      <alignment vertical="center"/>
    </xf>
    <xf numFmtId="0" fontId="0" fillId="0" borderId="0" xfId="0" applyBorder="1">
      <alignment vertical="center"/>
    </xf>
    <xf numFmtId="1" fontId="0" fillId="0" borderId="0" xfId="0" applyNumberFormat="1" applyBorder="1" applyAlignment="1">
      <alignment vertical="center"/>
    </xf>
    <xf numFmtId="1" fontId="0" fillId="0" borderId="0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5" borderId="0" xfId="0" applyFill="1">
      <alignment vertical="center"/>
    </xf>
    <xf numFmtId="176" fontId="0" fillId="7" borderId="0" xfId="0" applyNumberFormat="1" applyFill="1">
      <alignment vertical="center"/>
    </xf>
    <xf numFmtId="176" fontId="0" fillId="0" borderId="0" xfId="8" applyNumberFormat="1" applyFill="1">
      <alignment vertical="center"/>
    </xf>
    <xf numFmtId="49" fontId="0" fillId="0" borderId="1" xfId="0" applyNumberFormat="1" applyBorder="1">
      <alignment vertical="center"/>
    </xf>
    <xf numFmtId="49" fontId="0" fillId="0" borderId="0" xfId="0" applyNumberFormat="1" applyBorder="1">
      <alignment vertical="center"/>
    </xf>
    <xf numFmtId="176" fontId="0" fillId="7" borderId="0" xfId="8" applyNumberFormat="1" applyFill="1">
      <alignment vertical="center"/>
    </xf>
    <xf numFmtId="176" fontId="0" fillId="6" borderId="0" xfId="0" applyNumberFormat="1" applyFill="1">
      <alignment vertical="center"/>
    </xf>
    <xf numFmtId="49" fontId="0" fillId="0" borderId="1" xfId="0" applyNumberFormat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34752299021062"/>
          <c:y val="0.0713231677324151"/>
          <c:w val="0.943740729753782"/>
          <c:h val="0.826955238563699"/>
        </c:manualLayout>
      </c:layout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yVal>
            <c:numRef>
              <c:f>Sheet1!$D$3:$T$3</c:f>
              <c:numCache>
                <c:formatCode>General</c:formatCode>
                <c:ptCount val="17"/>
                <c:pt idx="0">
                  <c:v>70</c:v>
                </c:pt>
                <c:pt idx="1">
                  <c:v>100</c:v>
                </c:pt>
                <c:pt idx="2">
                  <c:v>130</c:v>
                </c:pt>
                <c:pt idx="3">
                  <c:v>140</c:v>
                </c:pt>
                <c:pt idx="4">
                  <c:v>145</c:v>
                </c:pt>
                <c:pt idx="5">
                  <c:v>160</c:v>
                </c:pt>
                <c:pt idx="6">
                  <c:v>180</c:v>
                </c:pt>
                <c:pt idx="7">
                  <c:v>205</c:v>
                </c:pt>
                <c:pt idx="8">
                  <c:v>235</c:v>
                </c:pt>
                <c:pt idx="9">
                  <c:v>260</c:v>
                </c:pt>
                <c:pt idx="10">
                  <c:v>250</c:v>
                </c:pt>
                <c:pt idx="11">
                  <c:v>220</c:v>
                </c:pt>
                <c:pt idx="12">
                  <c:v>190</c:v>
                </c:pt>
                <c:pt idx="13">
                  <c:v>160</c:v>
                </c:pt>
                <c:pt idx="14">
                  <c:v>135</c:v>
                </c:pt>
                <c:pt idx="15">
                  <c:v>110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107337"/>
        <c:axId val="266495309"/>
      </c:scatterChart>
      <c:valAx>
        <c:axId val="40310733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6495309"/>
        <c:crosses val="autoZero"/>
        <c:crossBetween val="midCat"/>
      </c:valAx>
      <c:valAx>
        <c:axId val="2664953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310733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32385</xdr:colOff>
      <xdr:row>4</xdr:row>
      <xdr:rowOff>111125</xdr:rowOff>
    </xdr:from>
    <xdr:to>
      <xdr:col>19</xdr:col>
      <xdr:colOff>20320</xdr:colOff>
      <xdr:row>24</xdr:row>
      <xdr:rowOff>26035</xdr:rowOff>
    </xdr:to>
    <xdr:graphicFrame>
      <xdr:nvGraphicFramePr>
        <xdr:cNvPr id="2" name="图表 1"/>
        <xdr:cNvGraphicFramePr/>
      </xdr:nvGraphicFramePr>
      <xdr:xfrm>
        <a:off x="1042035" y="968375"/>
        <a:ext cx="8569960" cy="33439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T43"/>
  <sheetViews>
    <sheetView tabSelected="1" workbookViewId="0">
      <selection activeCell="X5" sqref="X5"/>
    </sheetView>
  </sheetViews>
  <sheetFormatPr defaultColWidth="6.625" defaultRowHeight="13.5"/>
  <cols>
    <col min="2" max="16384" width="6.625" customWidth="1"/>
  </cols>
  <sheetData>
    <row r="1" spans="4:19"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</row>
    <row r="2" spans="2:19">
      <c r="B2" t="s">
        <v>0</v>
      </c>
      <c r="C2" s="1">
        <v>0</v>
      </c>
      <c r="D2" s="2">
        <v>30</v>
      </c>
      <c r="E2" s="2">
        <f>D2+30</f>
        <v>60</v>
      </c>
      <c r="F2" s="2">
        <f>E2+30</f>
        <v>90</v>
      </c>
      <c r="G2" s="2">
        <f t="shared" ref="G2:T2" si="0">F2+30</f>
        <v>120</v>
      </c>
      <c r="H2" s="2">
        <f t="shared" si="0"/>
        <v>150</v>
      </c>
      <c r="I2" s="2">
        <f t="shared" si="0"/>
        <v>180</v>
      </c>
      <c r="J2" s="2">
        <f t="shared" si="0"/>
        <v>210</v>
      </c>
      <c r="K2" s="2">
        <f t="shared" si="0"/>
        <v>240</v>
      </c>
      <c r="L2" s="2">
        <f t="shared" si="0"/>
        <v>270</v>
      </c>
      <c r="M2" s="2">
        <f t="shared" si="0"/>
        <v>300</v>
      </c>
      <c r="N2" s="2">
        <f t="shared" si="0"/>
        <v>330</v>
      </c>
      <c r="O2" s="2">
        <f t="shared" si="0"/>
        <v>360</v>
      </c>
      <c r="P2" s="2">
        <f t="shared" si="0"/>
        <v>390</v>
      </c>
      <c r="Q2" s="2">
        <f t="shared" si="0"/>
        <v>420</v>
      </c>
      <c r="R2" s="2">
        <f t="shared" si="0"/>
        <v>450</v>
      </c>
      <c r="S2" s="2">
        <f t="shared" si="0"/>
        <v>480</v>
      </c>
    </row>
    <row r="3" spans="2:19">
      <c r="B3" t="s">
        <v>1</v>
      </c>
      <c r="C3" s="1">
        <v>40</v>
      </c>
      <c r="D3" s="3">
        <v>70</v>
      </c>
      <c r="E3">
        <v>100</v>
      </c>
      <c r="F3">
        <v>130</v>
      </c>
      <c r="G3">
        <v>140</v>
      </c>
      <c r="H3">
        <v>145</v>
      </c>
      <c r="I3">
        <v>160</v>
      </c>
      <c r="J3">
        <v>180</v>
      </c>
      <c r="K3">
        <v>205</v>
      </c>
      <c r="L3">
        <v>235</v>
      </c>
      <c r="M3">
        <v>260</v>
      </c>
      <c r="N3">
        <v>250</v>
      </c>
      <c r="O3">
        <v>220</v>
      </c>
      <c r="P3">
        <v>190</v>
      </c>
      <c r="Q3">
        <v>160</v>
      </c>
      <c r="R3">
        <v>135</v>
      </c>
      <c r="S3">
        <v>110</v>
      </c>
    </row>
    <row r="4" ht="27" customHeight="1" spans="3:19">
      <c r="C4" s="4" t="s">
        <v>2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6" spans="4:19">
      <c r="D6">
        <f>D3-C3</f>
        <v>30</v>
      </c>
      <c r="E6">
        <f t="shared" ref="E6:S6" si="1">E3-D3</f>
        <v>30</v>
      </c>
      <c r="F6">
        <f t="shared" si="1"/>
        <v>30</v>
      </c>
      <c r="G6">
        <f t="shared" si="1"/>
        <v>10</v>
      </c>
      <c r="H6">
        <f t="shared" si="1"/>
        <v>5</v>
      </c>
      <c r="I6">
        <f t="shared" si="1"/>
        <v>15</v>
      </c>
      <c r="J6">
        <f t="shared" si="1"/>
        <v>20</v>
      </c>
      <c r="K6">
        <f t="shared" si="1"/>
        <v>25</v>
      </c>
      <c r="L6">
        <f t="shared" si="1"/>
        <v>30</v>
      </c>
      <c r="M6">
        <f t="shared" si="1"/>
        <v>25</v>
      </c>
      <c r="N6">
        <f t="shared" si="1"/>
        <v>-10</v>
      </c>
      <c r="O6">
        <f t="shared" si="1"/>
        <v>-30</v>
      </c>
      <c r="P6">
        <f t="shared" si="1"/>
        <v>-30</v>
      </c>
      <c r="Q6">
        <f t="shared" si="1"/>
        <v>-30</v>
      </c>
      <c r="R6">
        <f t="shared" si="1"/>
        <v>-25</v>
      </c>
      <c r="S6">
        <f t="shared" si="1"/>
        <v>-25</v>
      </c>
    </row>
    <row r="7" spans="4:19">
      <c r="D7">
        <f>D6/6</f>
        <v>5</v>
      </c>
      <c r="E7">
        <f t="shared" ref="E7:S7" si="2">E6/6</f>
        <v>5</v>
      </c>
      <c r="F7" s="5">
        <f t="shared" si="2"/>
        <v>5</v>
      </c>
      <c r="G7">
        <f t="shared" si="2"/>
        <v>1.66666666666667</v>
      </c>
      <c r="H7">
        <f t="shared" si="2"/>
        <v>0.833333333333333</v>
      </c>
      <c r="I7" s="5">
        <f t="shared" si="2"/>
        <v>2.5</v>
      </c>
      <c r="J7" s="5">
        <f t="shared" si="2"/>
        <v>3.33333333333333</v>
      </c>
      <c r="K7" s="23">
        <f t="shared" si="2"/>
        <v>4.16666666666667</v>
      </c>
      <c r="L7" s="24">
        <f t="shared" si="2"/>
        <v>5</v>
      </c>
      <c r="M7" s="25">
        <f t="shared" si="2"/>
        <v>4.16666666666667</v>
      </c>
      <c r="N7">
        <f t="shared" si="2"/>
        <v>-1.66666666666667</v>
      </c>
      <c r="O7" s="25">
        <f t="shared" si="2"/>
        <v>-5</v>
      </c>
      <c r="P7">
        <f t="shared" si="2"/>
        <v>-5</v>
      </c>
      <c r="Q7" s="25">
        <f t="shared" si="2"/>
        <v>-5</v>
      </c>
      <c r="R7">
        <f t="shared" si="2"/>
        <v>-4.16666666666667</v>
      </c>
      <c r="S7">
        <f t="shared" si="2"/>
        <v>-4.16666666666667</v>
      </c>
    </row>
    <row r="9" spans="4:4">
      <c r="D9" s="6"/>
    </row>
    <row r="10" spans="2:19">
      <c r="B10" s="7"/>
      <c r="C10" s="7"/>
      <c r="D10" s="8">
        <f>C3+D7</f>
        <v>45</v>
      </c>
      <c r="E10" s="8">
        <f>D10+D7</f>
        <v>50</v>
      </c>
      <c r="F10" s="8">
        <f>E10+D7</f>
        <v>55</v>
      </c>
      <c r="G10" s="8">
        <f>F10+D7</f>
        <v>60</v>
      </c>
      <c r="H10" s="8">
        <f>G10+D7</f>
        <v>65</v>
      </c>
      <c r="I10" s="26">
        <f>H10+D7</f>
        <v>70</v>
      </c>
      <c r="J10" s="8">
        <f>I10+E7</f>
        <v>75</v>
      </c>
      <c r="K10" s="8">
        <f>J10+E7</f>
        <v>80</v>
      </c>
      <c r="L10" s="8">
        <f>K10+E7</f>
        <v>85</v>
      </c>
      <c r="M10" s="8">
        <f>L10+E7</f>
        <v>90</v>
      </c>
      <c r="N10" s="8">
        <f>M10+E7</f>
        <v>95</v>
      </c>
      <c r="O10" s="26">
        <f>N10+E7</f>
        <v>100</v>
      </c>
      <c r="P10" s="8">
        <f>O10+F7</f>
        <v>105</v>
      </c>
      <c r="Q10" s="8">
        <f>P10+F7</f>
        <v>110</v>
      </c>
      <c r="R10" s="8">
        <f>Q10+F7</f>
        <v>115</v>
      </c>
      <c r="S10" s="8">
        <f>R10+F7</f>
        <v>120</v>
      </c>
    </row>
    <row r="11" spans="4:19">
      <c r="D11" s="8">
        <f>S10+F7</f>
        <v>125</v>
      </c>
      <c r="E11" s="9">
        <f>D11+F7</f>
        <v>130</v>
      </c>
      <c r="F11" s="8">
        <f>E11+G7</f>
        <v>131.666666666667</v>
      </c>
      <c r="G11" s="8">
        <f>F11+G7</f>
        <v>133.333333333333</v>
      </c>
      <c r="H11" s="8">
        <f>G11+G7</f>
        <v>135</v>
      </c>
      <c r="I11" s="8">
        <f>H11+G7</f>
        <v>136.666666666667</v>
      </c>
      <c r="J11" s="8">
        <f>I11+G7</f>
        <v>138.333333333333</v>
      </c>
      <c r="K11" s="26">
        <f>J11+G7</f>
        <v>140</v>
      </c>
      <c r="L11" s="8">
        <f>K11+H7</f>
        <v>140.833333333333</v>
      </c>
      <c r="M11" s="8">
        <f>L11+H7</f>
        <v>141.666666666667</v>
      </c>
      <c r="N11" s="8">
        <f>M11+H7</f>
        <v>142.5</v>
      </c>
      <c r="O11" s="27">
        <f>N11+H7</f>
        <v>143.333333333333</v>
      </c>
      <c r="P11" s="27">
        <f>O11+H7</f>
        <v>144.166666666667</v>
      </c>
      <c r="Q11" s="30">
        <f>P11+H7</f>
        <v>145</v>
      </c>
      <c r="R11" s="27">
        <f>Q11+I7</f>
        <v>147.5</v>
      </c>
      <c r="S11" s="27">
        <f>R11+I7</f>
        <v>150</v>
      </c>
    </row>
    <row r="12" spans="4:19">
      <c r="D12" s="8">
        <f>S11+I7</f>
        <v>152.5</v>
      </c>
      <c r="E12" s="8">
        <f>D12+I7</f>
        <v>155</v>
      </c>
      <c r="F12" s="8">
        <f>E12+I7</f>
        <v>157.5</v>
      </c>
      <c r="G12" s="9">
        <f>F12+I7</f>
        <v>160</v>
      </c>
      <c r="H12" s="8">
        <f>G12+J7</f>
        <v>163.333333333333</v>
      </c>
      <c r="I12" s="8">
        <f>H12+J7</f>
        <v>166.666666666667</v>
      </c>
      <c r="J12" s="8">
        <f>I12+J7</f>
        <v>170</v>
      </c>
      <c r="K12" s="8">
        <f>J12+J7</f>
        <v>173.333333333333</v>
      </c>
      <c r="L12" s="8">
        <f>K12+J7</f>
        <v>176.666666666667</v>
      </c>
      <c r="M12" s="9">
        <f>L12+J7</f>
        <v>180</v>
      </c>
      <c r="N12" s="8">
        <f>M12+K7</f>
        <v>184.166666666667</v>
      </c>
      <c r="O12" s="8">
        <f>N12+K7</f>
        <v>188.333333333333</v>
      </c>
      <c r="P12" s="8">
        <f>O12+K7</f>
        <v>192.5</v>
      </c>
      <c r="Q12" s="8">
        <f>P12+K7</f>
        <v>196.666666666667</v>
      </c>
      <c r="R12" s="8">
        <f>Q12+K7</f>
        <v>200.833333333333</v>
      </c>
      <c r="S12" s="31">
        <f>R12+K7</f>
        <v>205</v>
      </c>
    </row>
    <row r="13" spans="4:19">
      <c r="D13" s="8">
        <f>S12+L7</f>
        <v>210</v>
      </c>
      <c r="E13" s="8">
        <f>D13+L7</f>
        <v>215</v>
      </c>
      <c r="F13" s="8">
        <f>E13+L7</f>
        <v>220</v>
      </c>
      <c r="G13" s="8">
        <f>F13+L7</f>
        <v>225</v>
      </c>
      <c r="H13" s="8">
        <f>G13+L7</f>
        <v>230</v>
      </c>
      <c r="I13" s="26">
        <f>H13+L7</f>
        <v>235</v>
      </c>
      <c r="J13" s="8">
        <f>I13+M7</f>
        <v>239.166666666667</v>
      </c>
      <c r="K13" s="8">
        <f>J13+M7</f>
        <v>243.333333333333</v>
      </c>
      <c r="L13" s="8">
        <f>K13+M7</f>
        <v>247.5</v>
      </c>
      <c r="M13" s="8">
        <f>L13+M7</f>
        <v>251.666666666667</v>
      </c>
      <c r="N13" s="8">
        <f>M13+M7</f>
        <v>255.833333333333</v>
      </c>
      <c r="O13" s="10">
        <f>N13+M7</f>
        <v>260</v>
      </c>
      <c r="P13" s="8">
        <f>O13+N7</f>
        <v>258.333333333333</v>
      </c>
      <c r="Q13" s="8">
        <f>P13+N7</f>
        <v>256.666666666667</v>
      </c>
      <c r="R13" s="8">
        <f>Q13+N7</f>
        <v>255</v>
      </c>
      <c r="S13" s="8">
        <f>R13+N7</f>
        <v>253.333333333333</v>
      </c>
    </row>
    <row r="14" spans="4:19">
      <c r="D14" s="8">
        <f>S13+N7</f>
        <v>251.666666666667</v>
      </c>
      <c r="E14" s="10">
        <f>D14+N7</f>
        <v>250</v>
      </c>
      <c r="F14" s="8">
        <f>E14+O7</f>
        <v>245</v>
      </c>
      <c r="G14" s="8">
        <f>F14+O7</f>
        <v>240</v>
      </c>
      <c r="H14" s="8">
        <f>G14+O7</f>
        <v>235</v>
      </c>
      <c r="I14" s="8">
        <f>H14+O7</f>
        <v>230</v>
      </c>
      <c r="J14" s="8">
        <f>I14+O7</f>
        <v>225</v>
      </c>
      <c r="K14" s="10">
        <f>J14+O7</f>
        <v>220</v>
      </c>
      <c r="L14" s="8">
        <f>K14+P7</f>
        <v>215</v>
      </c>
      <c r="M14" s="8">
        <f>L14+P7</f>
        <v>210</v>
      </c>
      <c r="N14" s="8">
        <f>M14+P7</f>
        <v>205</v>
      </c>
      <c r="O14" s="8">
        <f>N14+P7</f>
        <v>200</v>
      </c>
      <c r="P14" s="8">
        <f>O14+P7</f>
        <v>195</v>
      </c>
      <c r="Q14" s="10">
        <f>P14+P7</f>
        <v>190</v>
      </c>
      <c r="R14" s="8">
        <f>Q14+Q7</f>
        <v>185</v>
      </c>
      <c r="S14" s="8">
        <f>R14+Q7</f>
        <v>180</v>
      </c>
    </row>
    <row r="15" spans="4:19">
      <c r="D15" s="8">
        <f>S14+Q7</f>
        <v>175</v>
      </c>
      <c r="E15" s="8">
        <f>D15+Q7</f>
        <v>170</v>
      </c>
      <c r="F15" s="8">
        <f>E15+Q7</f>
        <v>165</v>
      </c>
      <c r="G15" s="10">
        <f>F15+Q7</f>
        <v>160</v>
      </c>
      <c r="H15" s="8">
        <f>G15+R7</f>
        <v>155.833333333333</v>
      </c>
      <c r="I15" s="8">
        <f>H15+R7</f>
        <v>151.666666666667</v>
      </c>
      <c r="J15" s="8">
        <f>I15+R7</f>
        <v>147.5</v>
      </c>
      <c r="K15" s="8">
        <f>J15+R7</f>
        <v>143.333333333333</v>
      </c>
      <c r="L15" s="8">
        <f>K15+R7</f>
        <v>139.166666666667</v>
      </c>
      <c r="M15" s="10">
        <f>L15+R7</f>
        <v>135</v>
      </c>
      <c r="N15" s="8">
        <f>M15+S7</f>
        <v>130.833333333333</v>
      </c>
      <c r="O15" s="8">
        <f>N15+S7</f>
        <v>126.666666666667</v>
      </c>
      <c r="P15" s="8">
        <f>O15+S7</f>
        <v>122.5</v>
      </c>
      <c r="Q15" s="8">
        <f>P15+S7</f>
        <v>118.333333333333</v>
      </c>
      <c r="R15" s="8">
        <f>Q15+S7</f>
        <v>114.166666666667</v>
      </c>
      <c r="S15" s="8">
        <f>R15+S7</f>
        <v>110</v>
      </c>
    </row>
    <row r="16" spans="5:19"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spans="5:19"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  <row r="18" spans="2:19">
      <c r="B18" s="12"/>
      <c r="C18" s="12"/>
      <c r="D18" s="13">
        <f t="shared" ref="D18:D23" si="3">D10-25</f>
        <v>20</v>
      </c>
      <c r="E18" s="13">
        <f t="shared" ref="E18:S18" si="4">E10-25</f>
        <v>25</v>
      </c>
      <c r="F18" s="13">
        <f t="shared" si="4"/>
        <v>30</v>
      </c>
      <c r="G18" s="13">
        <f t="shared" si="4"/>
        <v>35</v>
      </c>
      <c r="H18" s="13">
        <f t="shared" si="4"/>
        <v>40</v>
      </c>
      <c r="I18" s="13">
        <f t="shared" si="4"/>
        <v>45</v>
      </c>
      <c r="J18" s="13">
        <f t="shared" si="4"/>
        <v>50</v>
      </c>
      <c r="K18" s="13">
        <f t="shared" si="4"/>
        <v>55</v>
      </c>
      <c r="L18" s="13">
        <f t="shared" si="4"/>
        <v>60</v>
      </c>
      <c r="M18" s="13">
        <f t="shared" si="4"/>
        <v>65</v>
      </c>
      <c r="N18" s="13">
        <f t="shared" si="4"/>
        <v>70</v>
      </c>
      <c r="O18" s="13">
        <f t="shared" si="4"/>
        <v>75</v>
      </c>
      <c r="P18" s="13">
        <f t="shared" si="4"/>
        <v>80</v>
      </c>
      <c r="Q18" s="13">
        <f t="shared" si="4"/>
        <v>85</v>
      </c>
      <c r="R18" s="13">
        <f t="shared" si="4"/>
        <v>90</v>
      </c>
      <c r="S18" s="13">
        <f t="shared" si="4"/>
        <v>95</v>
      </c>
    </row>
    <row r="19" spans="2:19">
      <c r="B19" s="12"/>
      <c r="C19" s="12"/>
      <c r="D19" s="13">
        <f t="shared" si="3"/>
        <v>100</v>
      </c>
      <c r="E19" s="13">
        <f t="shared" ref="E19:S19" si="5">E11-25</f>
        <v>105</v>
      </c>
      <c r="F19" s="13">
        <f t="shared" si="5"/>
        <v>106.666666666667</v>
      </c>
      <c r="G19" s="13">
        <f t="shared" si="5"/>
        <v>108.333333333333</v>
      </c>
      <c r="H19" s="13">
        <f t="shared" si="5"/>
        <v>110</v>
      </c>
      <c r="I19" s="13">
        <f t="shared" si="5"/>
        <v>111.666666666667</v>
      </c>
      <c r="J19" s="13">
        <f t="shared" si="5"/>
        <v>113.333333333333</v>
      </c>
      <c r="K19" s="13">
        <f t="shared" si="5"/>
        <v>115</v>
      </c>
      <c r="L19" s="13">
        <f t="shared" si="5"/>
        <v>115.833333333333</v>
      </c>
      <c r="M19" s="13">
        <f t="shared" si="5"/>
        <v>116.666666666667</v>
      </c>
      <c r="N19" s="13">
        <f t="shared" si="5"/>
        <v>117.5</v>
      </c>
      <c r="O19" s="13">
        <f t="shared" si="5"/>
        <v>118.333333333333</v>
      </c>
      <c r="P19" s="13">
        <f t="shared" si="5"/>
        <v>119.166666666667</v>
      </c>
      <c r="Q19" s="13">
        <f t="shared" si="5"/>
        <v>120</v>
      </c>
      <c r="R19" s="13">
        <f t="shared" si="5"/>
        <v>122.5</v>
      </c>
      <c r="S19" s="13">
        <f t="shared" si="5"/>
        <v>125</v>
      </c>
    </row>
    <row r="20" spans="2:19">
      <c r="B20" s="12"/>
      <c r="C20" s="12"/>
      <c r="D20" s="13">
        <f t="shared" si="3"/>
        <v>127.5</v>
      </c>
      <c r="E20" s="13">
        <f t="shared" ref="E20:S20" si="6">E12-25</f>
        <v>130</v>
      </c>
      <c r="F20" s="13">
        <f t="shared" si="6"/>
        <v>132.5</v>
      </c>
      <c r="G20" s="13">
        <f t="shared" si="6"/>
        <v>135</v>
      </c>
      <c r="H20" s="13">
        <f t="shared" si="6"/>
        <v>138.333333333333</v>
      </c>
      <c r="I20" s="13">
        <f t="shared" si="6"/>
        <v>141.666666666667</v>
      </c>
      <c r="J20" s="13">
        <f t="shared" si="6"/>
        <v>145</v>
      </c>
      <c r="K20" s="13">
        <f t="shared" si="6"/>
        <v>148.333333333333</v>
      </c>
      <c r="L20" s="13">
        <f t="shared" si="6"/>
        <v>151.666666666667</v>
      </c>
      <c r="M20" s="13">
        <f t="shared" si="6"/>
        <v>155</v>
      </c>
      <c r="N20" s="13">
        <f t="shared" si="6"/>
        <v>159.166666666667</v>
      </c>
      <c r="O20" s="13">
        <f t="shared" si="6"/>
        <v>163.333333333333</v>
      </c>
      <c r="P20" s="13">
        <f t="shared" si="6"/>
        <v>167.5</v>
      </c>
      <c r="Q20" s="13">
        <f t="shared" si="6"/>
        <v>171.666666666667</v>
      </c>
      <c r="R20" s="13">
        <f t="shared" si="6"/>
        <v>175.833333333333</v>
      </c>
      <c r="S20" s="13">
        <f t="shared" si="6"/>
        <v>180</v>
      </c>
    </row>
    <row r="21" spans="2:19">
      <c r="B21" s="12"/>
      <c r="C21" s="12"/>
      <c r="D21" s="13">
        <f t="shared" si="3"/>
        <v>185</v>
      </c>
      <c r="E21" s="13">
        <f t="shared" ref="E21:S21" si="7">E13-25</f>
        <v>190</v>
      </c>
      <c r="F21" s="13">
        <f t="shared" si="7"/>
        <v>195</v>
      </c>
      <c r="G21" s="13">
        <f t="shared" si="7"/>
        <v>200</v>
      </c>
      <c r="H21" s="13">
        <f t="shared" si="7"/>
        <v>205</v>
      </c>
      <c r="I21" s="13">
        <f t="shared" si="7"/>
        <v>210</v>
      </c>
      <c r="J21" s="13">
        <f t="shared" si="7"/>
        <v>214.166666666667</v>
      </c>
      <c r="K21" s="13">
        <f t="shared" si="7"/>
        <v>218.333333333333</v>
      </c>
      <c r="L21" s="13">
        <f t="shared" si="7"/>
        <v>222.5</v>
      </c>
      <c r="M21" s="13">
        <f t="shared" si="7"/>
        <v>226.666666666667</v>
      </c>
      <c r="N21" s="13">
        <f t="shared" si="7"/>
        <v>230.833333333333</v>
      </c>
      <c r="O21" s="13">
        <f t="shared" si="7"/>
        <v>235</v>
      </c>
      <c r="P21" s="13">
        <f t="shared" si="7"/>
        <v>233.333333333333</v>
      </c>
      <c r="Q21" s="13">
        <f t="shared" si="7"/>
        <v>231.666666666667</v>
      </c>
      <c r="R21" s="13">
        <f t="shared" si="7"/>
        <v>230</v>
      </c>
      <c r="S21" s="13">
        <f t="shared" si="7"/>
        <v>228.333333333333</v>
      </c>
    </row>
    <row r="22" spans="2:19">
      <c r="B22" s="12"/>
      <c r="C22" s="12"/>
      <c r="D22" s="13">
        <f t="shared" si="3"/>
        <v>226.666666666667</v>
      </c>
      <c r="E22" s="13">
        <f t="shared" ref="E22:S22" si="8">E14-25</f>
        <v>225</v>
      </c>
      <c r="F22" s="13">
        <f t="shared" si="8"/>
        <v>220</v>
      </c>
      <c r="G22" s="13">
        <f t="shared" si="8"/>
        <v>215</v>
      </c>
      <c r="H22" s="13">
        <f t="shared" si="8"/>
        <v>210</v>
      </c>
      <c r="I22" s="13">
        <f t="shared" si="8"/>
        <v>205</v>
      </c>
      <c r="J22" s="13">
        <f t="shared" si="8"/>
        <v>200</v>
      </c>
      <c r="K22" s="13">
        <f t="shared" si="8"/>
        <v>195</v>
      </c>
      <c r="L22" s="13">
        <f t="shared" si="8"/>
        <v>190</v>
      </c>
      <c r="M22" s="13">
        <f t="shared" si="8"/>
        <v>185</v>
      </c>
      <c r="N22" s="13">
        <f t="shared" si="8"/>
        <v>180</v>
      </c>
      <c r="O22" s="13">
        <f t="shared" si="8"/>
        <v>175</v>
      </c>
      <c r="P22" s="13">
        <f t="shared" si="8"/>
        <v>170</v>
      </c>
      <c r="Q22" s="13">
        <f t="shared" si="8"/>
        <v>165</v>
      </c>
      <c r="R22" s="13">
        <f t="shared" si="8"/>
        <v>160</v>
      </c>
      <c r="S22" s="13">
        <f t="shared" si="8"/>
        <v>155</v>
      </c>
    </row>
    <row r="23" spans="2:19">
      <c r="B23" s="12"/>
      <c r="C23" s="12"/>
      <c r="D23" s="13">
        <f t="shared" si="3"/>
        <v>150</v>
      </c>
      <c r="E23" s="13">
        <f t="shared" ref="E23:S23" si="9">E15-25</f>
        <v>145</v>
      </c>
      <c r="F23" s="13">
        <f t="shared" si="9"/>
        <v>140</v>
      </c>
      <c r="G23" s="13">
        <f t="shared" si="9"/>
        <v>135</v>
      </c>
      <c r="H23" s="13">
        <f t="shared" si="9"/>
        <v>130.833333333333</v>
      </c>
      <c r="I23" s="13">
        <f t="shared" si="9"/>
        <v>126.666666666667</v>
      </c>
      <c r="J23" s="13">
        <f t="shared" si="9"/>
        <v>122.5</v>
      </c>
      <c r="K23" s="13">
        <f t="shared" si="9"/>
        <v>118.333333333333</v>
      </c>
      <c r="L23" s="13">
        <f t="shared" si="9"/>
        <v>114.166666666667</v>
      </c>
      <c r="M23" s="13">
        <f t="shared" si="9"/>
        <v>110</v>
      </c>
      <c r="N23" s="13">
        <f t="shared" si="9"/>
        <v>105.833333333333</v>
      </c>
      <c r="O23" s="13">
        <f t="shared" si="9"/>
        <v>101.666666666667</v>
      </c>
      <c r="P23" s="13">
        <f t="shared" si="9"/>
        <v>97.5</v>
      </c>
      <c r="Q23" s="13">
        <f t="shared" si="9"/>
        <v>93.3333333333333</v>
      </c>
      <c r="R23" s="13">
        <f t="shared" si="9"/>
        <v>89.1666666666667</v>
      </c>
      <c r="S23" s="13">
        <f t="shared" si="9"/>
        <v>85</v>
      </c>
    </row>
    <row r="24" spans="2:19">
      <c r="B24" s="12"/>
      <c r="C24" s="12"/>
      <c r="D24" s="12"/>
      <c r="E24" s="14"/>
      <c r="F24" s="14"/>
      <c r="G24" s="14"/>
      <c r="H24" s="14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</row>
    <row r="25" spans="3:19">
      <c r="C25" s="12"/>
      <c r="D25" s="12"/>
      <c r="E25" s="14"/>
      <c r="F25" s="14"/>
      <c r="G25" s="14"/>
      <c r="H25" s="14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</row>
    <row r="26" spans="3:19">
      <c r="C26" s="12"/>
      <c r="D26" s="12"/>
      <c r="E26" s="14"/>
      <c r="F26" s="14"/>
      <c r="G26" s="14"/>
      <c r="H26" s="14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</row>
    <row r="27" spans="3:19">
      <c r="C27" s="15" t="s">
        <v>3</v>
      </c>
      <c r="D27" s="16"/>
      <c r="E27" s="17"/>
      <c r="F27" s="16"/>
      <c r="G27" s="16"/>
      <c r="H27" s="16"/>
      <c r="I27" s="16"/>
      <c r="J27" s="16"/>
      <c r="K27" s="16"/>
      <c r="L27" s="16"/>
      <c r="M27" s="16"/>
      <c r="N27" s="16"/>
      <c r="O27" s="28" t="s">
        <v>4</v>
      </c>
      <c r="P27" s="28" t="s">
        <v>5</v>
      </c>
      <c r="Q27" s="28" t="s">
        <v>6</v>
      </c>
      <c r="R27" s="28" t="s">
        <v>6</v>
      </c>
      <c r="S27" s="28" t="s">
        <v>7</v>
      </c>
    </row>
    <row r="28" spans="3:19">
      <c r="C28" s="15"/>
      <c r="D28" s="18" t="str">
        <f t="shared" ref="D28:D33" si="10">DEC2HEX(D18)</f>
        <v>14</v>
      </c>
      <c r="E28" s="18" t="str">
        <f t="shared" ref="E28:S28" si="11">DEC2HEX(E18)</f>
        <v>19</v>
      </c>
      <c r="F28" s="18" t="str">
        <f t="shared" si="11"/>
        <v>1E</v>
      </c>
      <c r="G28" s="18" t="str">
        <f t="shared" si="11"/>
        <v>23</v>
      </c>
      <c r="H28" s="18" t="str">
        <f t="shared" si="11"/>
        <v>28</v>
      </c>
      <c r="I28" s="18" t="str">
        <f t="shared" si="11"/>
        <v>2D</v>
      </c>
      <c r="J28" s="18" t="str">
        <f t="shared" si="11"/>
        <v>32</v>
      </c>
      <c r="K28" s="18" t="str">
        <f t="shared" si="11"/>
        <v>37</v>
      </c>
      <c r="L28" s="18" t="str">
        <f t="shared" si="11"/>
        <v>3C</v>
      </c>
      <c r="M28" s="18" t="str">
        <f t="shared" si="11"/>
        <v>41</v>
      </c>
      <c r="N28" s="18" t="str">
        <f t="shared" si="11"/>
        <v>46</v>
      </c>
      <c r="O28" s="18" t="str">
        <f t="shared" si="11"/>
        <v>4B</v>
      </c>
      <c r="P28" s="18" t="str">
        <f t="shared" si="11"/>
        <v>50</v>
      </c>
      <c r="Q28" s="18" t="str">
        <f t="shared" si="11"/>
        <v>55</v>
      </c>
      <c r="R28" s="18" t="str">
        <f t="shared" si="11"/>
        <v>5A</v>
      </c>
      <c r="S28" s="18" t="str">
        <f t="shared" si="11"/>
        <v>5F</v>
      </c>
    </row>
    <row r="29" spans="3:19">
      <c r="C29" s="15"/>
      <c r="D29" s="18" t="str">
        <f t="shared" si="10"/>
        <v>64</v>
      </c>
      <c r="E29" s="18" t="str">
        <f t="shared" ref="E29:S29" si="12">DEC2HEX(E19)</f>
        <v>69</v>
      </c>
      <c r="F29" s="18" t="str">
        <f t="shared" si="12"/>
        <v>6A</v>
      </c>
      <c r="G29" s="18" t="str">
        <f t="shared" si="12"/>
        <v>6C</v>
      </c>
      <c r="H29" s="18" t="str">
        <f t="shared" si="12"/>
        <v>6E</v>
      </c>
      <c r="I29" s="18" t="str">
        <f t="shared" si="12"/>
        <v>6F</v>
      </c>
      <c r="J29" s="18" t="str">
        <f t="shared" si="12"/>
        <v>71</v>
      </c>
      <c r="K29" s="18" t="str">
        <f t="shared" si="12"/>
        <v>73</v>
      </c>
      <c r="L29" s="18" t="str">
        <f t="shared" si="12"/>
        <v>73</v>
      </c>
      <c r="M29" s="18" t="str">
        <f t="shared" si="12"/>
        <v>74</v>
      </c>
      <c r="N29" s="18" t="str">
        <f t="shared" si="12"/>
        <v>75</v>
      </c>
      <c r="O29" s="18" t="str">
        <f t="shared" si="12"/>
        <v>76</v>
      </c>
      <c r="P29" s="18" t="str">
        <f t="shared" si="12"/>
        <v>77</v>
      </c>
      <c r="Q29" s="18" t="str">
        <f t="shared" si="12"/>
        <v>78</v>
      </c>
      <c r="R29" s="18" t="str">
        <f t="shared" si="12"/>
        <v>7A</v>
      </c>
      <c r="S29" s="18" t="str">
        <f t="shared" si="12"/>
        <v>7D</v>
      </c>
    </row>
    <row r="30" spans="3:19">
      <c r="C30" s="15"/>
      <c r="D30" s="18" t="str">
        <f t="shared" si="10"/>
        <v>7F</v>
      </c>
      <c r="E30" s="18" t="str">
        <f t="shared" ref="E30:S30" si="13">DEC2HEX(E20)</f>
        <v>82</v>
      </c>
      <c r="F30" s="18" t="str">
        <f t="shared" si="13"/>
        <v>84</v>
      </c>
      <c r="G30" s="18" t="str">
        <f t="shared" si="13"/>
        <v>87</v>
      </c>
      <c r="H30" s="18" t="str">
        <f t="shared" si="13"/>
        <v>8A</v>
      </c>
      <c r="I30" s="18" t="str">
        <f t="shared" si="13"/>
        <v>8D</v>
      </c>
      <c r="J30" s="18" t="str">
        <f t="shared" si="13"/>
        <v>91</v>
      </c>
      <c r="K30" s="18" t="str">
        <f t="shared" si="13"/>
        <v>94</v>
      </c>
      <c r="L30" s="18" t="str">
        <f t="shared" si="13"/>
        <v>97</v>
      </c>
      <c r="M30" s="18" t="str">
        <f t="shared" si="13"/>
        <v>9B</v>
      </c>
      <c r="N30" s="18" t="str">
        <f t="shared" si="13"/>
        <v>9F</v>
      </c>
      <c r="O30" s="18" t="str">
        <f t="shared" si="13"/>
        <v>A3</v>
      </c>
      <c r="P30" s="18" t="str">
        <f t="shared" si="13"/>
        <v>A7</v>
      </c>
      <c r="Q30" s="18" t="str">
        <f t="shared" si="13"/>
        <v>AB</v>
      </c>
      <c r="R30" s="18" t="str">
        <f t="shared" si="13"/>
        <v>AF</v>
      </c>
      <c r="S30" s="18" t="str">
        <f t="shared" si="13"/>
        <v>B4</v>
      </c>
    </row>
    <row r="31" spans="3:19">
      <c r="C31" s="15"/>
      <c r="D31" s="18" t="str">
        <f t="shared" si="10"/>
        <v>B9</v>
      </c>
      <c r="E31" s="18" t="str">
        <f t="shared" ref="E31:S31" si="14">DEC2HEX(E21)</f>
        <v>BE</v>
      </c>
      <c r="F31" s="18" t="str">
        <f t="shared" si="14"/>
        <v>C3</v>
      </c>
      <c r="G31" s="18" t="str">
        <f t="shared" si="14"/>
        <v>C8</v>
      </c>
      <c r="H31" s="18" t="str">
        <f t="shared" si="14"/>
        <v>CD</v>
      </c>
      <c r="I31" s="18" t="str">
        <f t="shared" si="14"/>
        <v>D2</v>
      </c>
      <c r="J31" s="18" t="str">
        <f t="shared" si="14"/>
        <v>D6</v>
      </c>
      <c r="K31" s="18" t="str">
        <f t="shared" si="14"/>
        <v>DA</v>
      </c>
      <c r="L31" s="18" t="str">
        <f t="shared" si="14"/>
        <v>DE</v>
      </c>
      <c r="M31" s="18" t="str">
        <f t="shared" si="14"/>
        <v>E2</v>
      </c>
      <c r="N31" s="18" t="str">
        <f t="shared" si="14"/>
        <v>E6</v>
      </c>
      <c r="O31" s="18" t="str">
        <f t="shared" si="14"/>
        <v>EB</v>
      </c>
      <c r="P31" s="18" t="str">
        <f t="shared" si="14"/>
        <v>E9</v>
      </c>
      <c r="Q31" s="18" t="str">
        <f t="shared" si="14"/>
        <v>E7</v>
      </c>
      <c r="R31" s="18" t="str">
        <f t="shared" si="14"/>
        <v>E6</v>
      </c>
      <c r="S31" s="18" t="str">
        <f t="shared" si="14"/>
        <v>E4</v>
      </c>
    </row>
    <row r="32" spans="3:19">
      <c r="C32" s="15"/>
      <c r="D32" s="18" t="str">
        <f t="shared" si="10"/>
        <v>E2</v>
      </c>
      <c r="E32" s="18" t="str">
        <f t="shared" ref="E32:S32" si="15">DEC2HEX(E22)</f>
        <v>E1</v>
      </c>
      <c r="F32" s="18" t="str">
        <f t="shared" si="15"/>
        <v>DC</v>
      </c>
      <c r="G32" s="18" t="str">
        <f t="shared" si="15"/>
        <v>D7</v>
      </c>
      <c r="H32" s="18" t="str">
        <f t="shared" si="15"/>
        <v>D2</v>
      </c>
      <c r="I32" s="18" t="str">
        <f t="shared" si="15"/>
        <v>CD</v>
      </c>
      <c r="J32" s="18" t="str">
        <f t="shared" si="15"/>
        <v>C8</v>
      </c>
      <c r="K32" s="18" t="str">
        <f t="shared" si="15"/>
        <v>C3</v>
      </c>
      <c r="L32" s="18" t="str">
        <f t="shared" si="15"/>
        <v>BE</v>
      </c>
      <c r="M32" s="18" t="str">
        <f t="shared" si="15"/>
        <v>B9</v>
      </c>
      <c r="N32" s="18" t="str">
        <f t="shared" si="15"/>
        <v>B4</v>
      </c>
      <c r="O32" s="18" t="str">
        <f t="shared" si="15"/>
        <v>AF</v>
      </c>
      <c r="P32" s="18" t="str">
        <f t="shared" si="15"/>
        <v>AA</v>
      </c>
      <c r="Q32" s="18" t="str">
        <f t="shared" si="15"/>
        <v>A5</v>
      </c>
      <c r="R32" s="18" t="str">
        <f t="shared" si="15"/>
        <v>A0</v>
      </c>
      <c r="S32" s="18" t="str">
        <f t="shared" si="15"/>
        <v>9B</v>
      </c>
    </row>
    <row r="33" spans="3:19">
      <c r="C33" s="15"/>
      <c r="D33" s="18" t="str">
        <f t="shared" si="10"/>
        <v>96</v>
      </c>
      <c r="E33" s="18" t="str">
        <f t="shared" ref="E33:S33" si="16">DEC2HEX(E23)</f>
        <v>91</v>
      </c>
      <c r="F33" s="18" t="str">
        <f t="shared" si="16"/>
        <v>8C</v>
      </c>
      <c r="G33" s="18" t="str">
        <f t="shared" si="16"/>
        <v>87</v>
      </c>
      <c r="H33" s="18" t="str">
        <f t="shared" si="16"/>
        <v>82</v>
      </c>
      <c r="I33" s="18" t="str">
        <f t="shared" si="16"/>
        <v>7E</v>
      </c>
      <c r="J33" s="18" t="str">
        <f t="shared" si="16"/>
        <v>7A</v>
      </c>
      <c r="K33" s="18" t="str">
        <f t="shared" si="16"/>
        <v>76</v>
      </c>
      <c r="L33" s="18" t="str">
        <f t="shared" si="16"/>
        <v>72</v>
      </c>
      <c r="M33" s="18" t="str">
        <f t="shared" si="16"/>
        <v>6E</v>
      </c>
      <c r="N33" s="18" t="str">
        <f t="shared" si="16"/>
        <v>69</v>
      </c>
      <c r="O33" s="18" t="str">
        <f t="shared" si="16"/>
        <v>65</v>
      </c>
      <c r="P33" s="18" t="str">
        <f t="shared" si="16"/>
        <v>61</v>
      </c>
      <c r="Q33" s="18" t="str">
        <f t="shared" si="16"/>
        <v>5D</v>
      </c>
      <c r="R33" s="18" t="str">
        <f t="shared" si="16"/>
        <v>59</v>
      </c>
      <c r="S33" s="32" t="s">
        <v>6</v>
      </c>
    </row>
    <row r="34" spans="3:19">
      <c r="C34" s="12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</row>
    <row r="35" spans="3:19">
      <c r="C35" s="15" t="s">
        <v>8</v>
      </c>
      <c r="D35" s="20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28" t="s">
        <v>4</v>
      </c>
      <c r="P35" s="28" t="s">
        <v>5</v>
      </c>
      <c r="Q35" s="28" t="s">
        <v>6</v>
      </c>
      <c r="R35" s="28" t="s">
        <v>6</v>
      </c>
      <c r="S35" s="28" t="s">
        <v>7</v>
      </c>
    </row>
    <row r="36" spans="2:20">
      <c r="B36" s="12"/>
      <c r="C36" s="15"/>
      <c r="D36" s="18" t="str">
        <f>DEC2HEX(128+D18)</f>
        <v>94</v>
      </c>
      <c r="E36" s="16" t="str">
        <f>DEC2HEX(E18)</f>
        <v>19</v>
      </c>
      <c r="F36" s="16" t="str">
        <f t="shared" ref="F36:S36" si="17">DEC2HEX(F18)</f>
        <v>1E</v>
      </c>
      <c r="G36" s="16" t="str">
        <f t="shared" si="17"/>
        <v>23</v>
      </c>
      <c r="H36" s="16" t="str">
        <f t="shared" si="17"/>
        <v>28</v>
      </c>
      <c r="I36" s="16" t="str">
        <f t="shared" si="17"/>
        <v>2D</v>
      </c>
      <c r="J36" s="16" t="str">
        <f t="shared" si="17"/>
        <v>32</v>
      </c>
      <c r="K36" s="16" t="str">
        <f t="shared" si="17"/>
        <v>37</v>
      </c>
      <c r="L36" s="16" t="str">
        <f t="shared" si="17"/>
        <v>3C</v>
      </c>
      <c r="M36" s="16" t="str">
        <f t="shared" si="17"/>
        <v>41</v>
      </c>
      <c r="N36" s="16" t="str">
        <f t="shared" si="17"/>
        <v>46</v>
      </c>
      <c r="O36" s="16" t="str">
        <f t="shared" si="17"/>
        <v>4B</v>
      </c>
      <c r="P36" s="16" t="str">
        <f t="shared" si="17"/>
        <v>50</v>
      </c>
      <c r="Q36" s="16" t="str">
        <f t="shared" si="17"/>
        <v>55</v>
      </c>
      <c r="R36" s="16" t="str">
        <f t="shared" si="17"/>
        <v>5A</v>
      </c>
      <c r="S36" s="16" t="str">
        <f t="shared" si="17"/>
        <v>5F</v>
      </c>
      <c r="T36" s="12"/>
    </row>
    <row r="37" spans="2:20">
      <c r="B37" s="12"/>
      <c r="C37" s="15"/>
      <c r="D37" s="18" t="str">
        <f>DEC2HEX(D19)</f>
        <v>64</v>
      </c>
      <c r="E37" s="18" t="str">
        <f t="shared" ref="E37:S37" si="18">DEC2HEX(E19)</f>
        <v>69</v>
      </c>
      <c r="F37" s="18" t="str">
        <f t="shared" si="18"/>
        <v>6A</v>
      </c>
      <c r="G37" s="18" t="str">
        <f t="shared" si="18"/>
        <v>6C</v>
      </c>
      <c r="H37" s="18" t="str">
        <f t="shared" si="18"/>
        <v>6E</v>
      </c>
      <c r="I37" s="18" t="str">
        <f t="shared" si="18"/>
        <v>6F</v>
      </c>
      <c r="J37" s="18" t="str">
        <f t="shared" si="18"/>
        <v>71</v>
      </c>
      <c r="K37" s="18" t="str">
        <f t="shared" si="18"/>
        <v>73</v>
      </c>
      <c r="L37" s="18" t="str">
        <f t="shared" si="18"/>
        <v>73</v>
      </c>
      <c r="M37" s="18" t="str">
        <f t="shared" si="18"/>
        <v>74</v>
      </c>
      <c r="N37" s="18" t="str">
        <f t="shared" si="18"/>
        <v>75</v>
      </c>
      <c r="O37" s="18" t="str">
        <f t="shared" si="18"/>
        <v>76</v>
      </c>
      <c r="P37" s="18" t="str">
        <f t="shared" si="18"/>
        <v>77</v>
      </c>
      <c r="Q37" s="18" t="str">
        <f t="shared" si="18"/>
        <v>78</v>
      </c>
      <c r="R37" s="18" t="str">
        <f t="shared" si="18"/>
        <v>7A</v>
      </c>
      <c r="S37" s="18" t="str">
        <f t="shared" si="18"/>
        <v>7D</v>
      </c>
      <c r="T37" s="12"/>
    </row>
    <row r="38" spans="2:20">
      <c r="B38" s="12"/>
      <c r="C38" s="15"/>
      <c r="D38" s="18" t="str">
        <f>DEC2HEX(D20)</f>
        <v>7F</v>
      </c>
      <c r="E38" s="18" t="str">
        <f t="shared" ref="E38:S38" si="19">DEC2HEX(E20)</f>
        <v>82</v>
      </c>
      <c r="F38" s="18" t="str">
        <f t="shared" si="19"/>
        <v>84</v>
      </c>
      <c r="G38" s="18" t="str">
        <f t="shared" si="19"/>
        <v>87</v>
      </c>
      <c r="H38" s="18" t="str">
        <f t="shared" si="19"/>
        <v>8A</v>
      </c>
      <c r="I38" s="18" t="str">
        <f t="shared" si="19"/>
        <v>8D</v>
      </c>
      <c r="J38" s="18" t="str">
        <f t="shared" si="19"/>
        <v>91</v>
      </c>
      <c r="K38" s="18" t="str">
        <f t="shared" si="19"/>
        <v>94</v>
      </c>
      <c r="L38" s="18" t="str">
        <f t="shared" si="19"/>
        <v>97</v>
      </c>
      <c r="M38" s="18" t="str">
        <f t="shared" si="19"/>
        <v>9B</v>
      </c>
      <c r="N38" s="18" t="str">
        <f t="shared" si="19"/>
        <v>9F</v>
      </c>
      <c r="O38" s="18" t="str">
        <f t="shared" si="19"/>
        <v>A3</v>
      </c>
      <c r="P38" s="18" t="str">
        <f t="shared" si="19"/>
        <v>A7</v>
      </c>
      <c r="Q38" s="18" t="str">
        <f t="shared" si="19"/>
        <v>AB</v>
      </c>
      <c r="R38" s="18" t="str">
        <f t="shared" si="19"/>
        <v>AF</v>
      </c>
      <c r="S38" s="18" t="str">
        <f t="shared" si="19"/>
        <v>B4</v>
      </c>
      <c r="T38" s="12"/>
    </row>
    <row r="39" spans="2:20">
      <c r="B39" s="12"/>
      <c r="C39" s="15"/>
      <c r="D39" s="18" t="str">
        <f>DEC2HEX(D21)</f>
        <v>B9</v>
      </c>
      <c r="E39" s="18" t="str">
        <f t="shared" ref="E39:S39" si="20">DEC2HEX(E21)</f>
        <v>BE</v>
      </c>
      <c r="F39" s="18" t="str">
        <f t="shared" si="20"/>
        <v>C3</v>
      </c>
      <c r="G39" s="18" t="str">
        <f t="shared" si="20"/>
        <v>C8</v>
      </c>
      <c r="H39" s="18" t="str">
        <f t="shared" si="20"/>
        <v>CD</v>
      </c>
      <c r="I39" s="18" t="str">
        <f t="shared" si="20"/>
        <v>D2</v>
      </c>
      <c r="J39" s="18" t="str">
        <f t="shared" si="20"/>
        <v>D6</v>
      </c>
      <c r="K39" s="18" t="str">
        <f t="shared" si="20"/>
        <v>DA</v>
      </c>
      <c r="L39" s="18" t="str">
        <f t="shared" si="20"/>
        <v>DE</v>
      </c>
      <c r="M39" s="18" t="str">
        <f t="shared" si="20"/>
        <v>E2</v>
      </c>
      <c r="N39" s="18" t="str">
        <f t="shared" si="20"/>
        <v>E6</v>
      </c>
      <c r="O39" s="18" t="str">
        <f t="shared" si="20"/>
        <v>EB</v>
      </c>
      <c r="P39" s="18" t="str">
        <f t="shared" si="20"/>
        <v>E9</v>
      </c>
      <c r="Q39" s="18" t="str">
        <f t="shared" si="20"/>
        <v>E7</v>
      </c>
      <c r="R39" s="18" t="str">
        <f t="shared" si="20"/>
        <v>E6</v>
      </c>
      <c r="S39" s="18" t="str">
        <f t="shared" si="20"/>
        <v>E4</v>
      </c>
      <c r="T39" s="12"/>
    </row>
    <row r="40" spans="2:20">
      <c r="B40" s="12"/>
      <c r="C40" s="15"/>
      <c r="D40" s="18" t="str">
        <f>DEC2HEX(D22)</f>
        <v>E2</v>
      </c>
      <c r="E40" s="18" t="str">
        <f t="shared" ref="E40:S40" si="21">DEC2HEX(E22)</f>
        <v>E1</v>
      </c>
      <c r="F40" s="18" t="str">
        <f t="shared" si="21"/>
        <v>DC</v>
      </c>
      <c r="G40" s="18" t="str">
        <f t="shared" si="21"/>
        <v>D7</v>
      </c>
      <c r="H40" s="18" t="str">
        <f t="shared" si="21"/>
        <v>D2</v>
      </c>
      <c r="I40" s="18" t="str">
        <f t="shared" si="21"/>
        <v>CD</v>
      </c>
      <c r="J40" s="18" t="str">
        <f t="shared" si="21"/>
        <v>C8</v>
      </c>
      <c r="K40" s="18" t="str">
        <f t="shared" si="21"/>
        <v>C3</v>
      </c>
      <c r="L40" s="18" t="str">
        <f t="shared" si="21"/>
        <v>BE</v>
      </c>
      <c r="M40" s="18" t="str">
        <f t="shared" si="21"/>
        <v>B9</v>
      </c>
      <c r="N40" s="18" t="str">
        <f t="shared" si="21"/>
        <v>B4</v>
      </c>
      <c r="O40" s="18" t="str">
        <f t="shared" si="21"/>
        <v>AF</v>
      </c>
      <c r="P40" s="18" t="str">
        <f t="shared" si="21"/>
        <v>AA</v>
      </c>
      <c r="Q40" s="18" t="str">
        <f t="shared" si="21"/>
        <v>A5</v>
      </c>
      <c r="R40" s="18" t="str">
        <f t="shared" si="21"/>
        <v>A0</v>
      </c>
      <c r="S40" s="18" t="str">
        <f t="shared" si="21"/>
        <v>9B</v>
      </c>
      <c r="T40" s="12"/>
    </row>
    <row r="41" spans="2:20">
      <c r="B41" s="12"/>
      <c r="C41" s="15"/>
      <c r="D41" s="18" t="str">
        <f>DEC2HEX(D23)</f>
        <v>96</v>
      </c>
      <c r="E41" s="18" t="str">
        <f t="shared" ref="E41:S41" si="22">DEC2HEX(E23)</f>
        <v>91</v>
      </c>
      <c r="F41" s="18" t="str">
        <f t="shared" si="22"/>
        <v>8C</v>
      </c>
      <c r="G41" s="18" t="str">
        <f t="shared" si="22"/>
        <v>87</v>
      </c>
      <c r="H41" s="18" t="str">
        <f t="shared" si="22"/>
        <v>82</v>
      </c>
      <c r="I41" s="18" t="str">
        <f t="shared" si="22"/>
        <v>7E</v>
      </c>
      <c r="J41" s="18" t="str">
        <f t="shared" si="22"/>
        <v>7A</v>
      </c>
      <c r="K41" s="18" t="str">
        <f t="shared" si="22"/>
        <v>76</v>
      </c>
      <c r="L41" s="18" t="str">
        <f t="shared" si="22"/>
        <v>72</v>
      </c>
      <c r="M41" s="18" t="str">
        <f t="shared" si="22"/>
        <v>6E</v>
      </c>
      <c r="N41" s="18" t="str">
        <f t="shared" si="22"/>
        <v>69</v>
      </c>
      <c r="O41" s="18" t="str">
        <f t="shared" si="22"/>
        <v>65</v>
      </c>
      <c r="P41" s="18" t="str">
        <f t="shared" si="22"/>
        <v>61</v>
      </c>
      <c r="Q41" s="18" t="str">
        <f t="shared" si="22"/>
        <v>5D</v>
      </c>
      <c r="R41" s="18" t="str">
        <f t="shared" si="22"/>
        <v>59</v>
      </c>
      <c r="S41" s="32" t="s">
        <v>6</v>
      </c>
      <c r="T41" s="12"/>
    </row>
    <row r="42" spans="2:20">
      <c r="B42" s="12"/>
      <c r="C42" s="12"/>
      <c r="D42" s="21"/>
      <c r="E42" s="12"/>
      <c r="F42" s="12"/>
      <c r="G42" s="12"/>
      <c r="H42" s="12"/>
      <c r="I42" s="29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4:4">
      <c r="D43" s="22"/>
    </row>
  </sheetData>
  <mergeCells count="3">
    <mergeCell ref="C4:S4"/>
    <mergeCell ref="C27:C33"/>
    <mergeCell ref="C35:C4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2022-09-01T02:04:00Z</dcterms:created>
  <dcterms:modified xsi:type="dcterms:W3CDTF">2023-05-27T02:36:09Z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</Properties>
</file>